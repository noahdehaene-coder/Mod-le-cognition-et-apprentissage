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 participants" sheetId="1" r:id="rId5"/>
    <sheet state="visible" name="Données MazeSimulation.java" sheetId="2" r:id="rId6"/>
    <sheet state="visible" name="Données WallFollowerDynamic.jav" sheetId="3" r:id="rId7"/>
  </sheets>
  <definedNames/>
  <calcPr/>
</workbook>
</file>

<file path=xl/sharedStrings.xml><?xml version="1.0" encoding="utf-8"?>
<sst xmlns="http://schemas.openxmlformats.org/spreadsheetml/2006/main" count="42" uniqueCount="31">
  <si>
    <t>participant</t>
  </si>
  <si>
    <t>temps</t>
  </si>
  <si>
    <t>mouvements</t>
  </si>
  <si>
    <t>retours</t>
  </si>
  <si>
    <t>cases revisitées</t>
  </si>
  <si>
    <t>intersection revisitées</t>
  </si>
  <si>
    <t>H1</t>
  </si>
  <si>
    <t>H2</t>
  </si>
  <si>
    <t>H3</t>
  </si>
  <si>
    <t>F1</t>
  </si>
  <si>
    <t>F2</t>
  </si>
  <si>
    <t>F3</t>
  </si>
  <si>
    <t>H4</t>
  </si>
  <si>
    <t>H5</t>
  </si>
  <si>
    <t>F4</t>
  </si>
  <si>
    <t>F5</t>
  </si>
  <si>
    <t>H6</t>
  </si>
  <si>
    <t>H7</t>
  </si>
  <si>
    <t>H8</t>
  </si>
  <si>
    <t>F6</t>
  </si>
  <si>
    <t>F7</t>
  </si>
  <si>
    <t>F8</t>
  </si>
  <si>
    <t>H9</t>
  </si>
  <si>
    <t>Moyenne</t>
  </si>
  <si>
    <t>écart type</t>
  </si>
  <si>
    <t>Essai</t>
  </si>
  <si>
    <t>Mouvements</t>
  </si>
  <si>
    <t>Retours</t>
  </si>
  <si>
    <t>Cases_Revisitees</t>
  </si>
  <si>
    <t>ID</t>
  </si>
  <si>
    <t>Ecart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</si>
</sst>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D9D9D9"/>
      <name val="Arial"/>
      <scheme val="minor"/>
    </font>
    <font>
      <sz val="14.0"/>
      <color rgb="FF000000"/>
      <name val="&quot;Consolas&quot;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46" xfId="0" applyFill="1" applyFont="1" applyNumberFormat="1"/>
    <xf borderId="0" fillId="3" fontId="1" numFmtId="0" xfId="0" applyFont="1"/>
    <xf borderId="0" fillId="2" fontId="2" numFmtId="0" xfId="0" applyAlignment="1" applyFont="1">
      <alignment readingOrder="0"/>
    </xf>
    <xf borderId="0" fillId="4" fontId="2" numFmtId="0" xfId="0" applyFill="1" applyFont="1"/>
    <xf borderId="0" fillId="0" fontId="3" numFmtId="0" xfId="0" applyFont="1"/>
    <xf borderId="0" fillId="3" fontId="4" numFmtId="0" xfId="0" applyAlignment="1" applyFont="1">
      <alignment readingOrder="0"/>
    </xf>
    <xf borderId="0" fillId="0" fontId="2" numFmtId="0" xfId="0" applyFont="1"/>
    <xf borderId="0" fillId="3" fontId="2" numFmtId="0" xfId="0" applyFon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2" fontId="2" numFmtId="0" xfId="0" applyFon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mouvements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'Données participants'!$C$1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'Données participants'!$C$2:$C$18</c:f>
              <c:numCache/>
            </c:numRef>
          </c:val>
        </c:ser>
        <c:axId val="1055982140"/>
        <c:axId val="1131486949"/>
      </c:barChart>
      <c:catAx>
        <c:axId val="1055982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486949"/>
      </c:catAx>
      <c:valAx>
        <c:axId val="1131486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mouvements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982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609600</xdr:colOff>
      <xdr:row>0</xdr:row>
      <xdr:rowOff>152400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8.333333333333334E-4</v>
      </c>
      <c r="C2" s="1">
        <v>302.0</v>
      </c>
      <c r="D2" s="1">
        <v>14.0</v>
      </c>
      <c r="E2" s="1">
        <v>120.0</v>
      </c>
      <c r="F2" s="1">
        <v>17.0</v>
      </c>
    </row>
    <row r="3">
      <c r="A3" s="1" t="s">
        <v>7</v>
      </c>
      <c r="B3" s="2">
        <v>6.828703703703704E-4</v>
      </c>
      <c r="C3" s="1">
        <v>222.0</v>
      </c>
      <c r="D3" s="1">
        <v>5.0</v>
      </c>
      <c r="E3" s="1">
        <v>60.0</v>
      </c>
      <c r="F3" s="1">
        <v>7.0</v>
      </c>
    </row>
    <row r="4">
      <c r="A4" s="1" t="s">
        <v>8</v>
      </c>
      <c r="B4" s="3">
        <v>0.0017592592592592592</v>
      </c>
      <c r="C4" s="1">
        <v>594.0</v>
      </c>
      <c r="D4" s="1">
        <v>33.0</v>
      </c>
      <c r="E4" s="1">
        <v>395.0</v>
      </c>
      <c r="F4" s="1">
        <v>47.0</v>
      </c>
    </row>
    <row r="5">
      <c r="A5" s="1" t="s">
        <v>9</v>
      </c>
      <c r="B5" s="3">
        <v>0.0018287037037037037</v>
      </c>
      <c r="C5" s="1">
        <v>502.0</v>
      </c>
      <c r="D5" s="1">
        <v>28.0</v>
      </c>
      <c r="E5" s="1">
        <v>302.0</v>
      </c>
      <c r="F5" s="1">
        <v>39.0</v>
      </c>
    </row>
    <row r="6">
      <c r="A6" s="1" t="s">
        <v>10</v>
      </c>
      <c r="B6" s="3">
        <v>0.0030555555555555557</v>
      </c>
      <c r="C6" s="1">
        <v>999.0</v>
      </c>
      <c r="D6" s="1">
        <v>66.0</v>
      </c>
      <c r="E6" s="1">
        <v>707.0</v>
      </c>
      <c r="F6" s="1">
        <v>78.0</v>
      </c>
    </row>
    <row r="7">
      <c r="A7" s="1" t="s">
        <v>11</v>
      </c>
      <c r="B7" s="3">
        <v>5.902777777777778E-4</v>
      </c>
      <c r="C7" s="1">
        <v>182.0</v>
      </c>
      <c r="D7" s="1">
        <v>8.0</v>
      </c>
      <c r="E7" s="1">
        <v>42.0</v>
      </c>
      <c r="F7" s="1">
        <v>11.0</v>
      </c>
    </row>
    <row r="8">
      <c r="A8" s="1" t="s">
        <v>12</v>
      </c>
      <c r="B8" s="3">
        <v>6.481481481481481E-4</v>
      </c>
      <c r="C8" s="1">
        <v>178.0</v>
      </c>
      <c r="D8" s="1">
        <v>12.0</v>
      </c>
      <c r="E8" s="1">
        <v>46.0</v>
      </c>
      <c r="F8" s="1">
        <v>7.0</v>
      </c>
    </row>
    <row r="9">
      <c r="A9" s="1" t="s">
        <v>13</v>
      </c>
      <c r="B9" s="3">
        <v>6.134259259259259E-4</v>
      </c>
      <c r="C9" s="1">
        <v>220.0</v>
      </c>
      <c r="D9" s="1">
        <v>11.0</v>
      </c>
      <c r="E9" s="1">
        <v>76.0</v>
      </c>
      <c r="F9" s="1">
        <v>18.0</v>
      </c>
    </row>
    <row r="10">
      <c r="A10" s="1" t="s">
        <v>14</v>
      </c>
      <c r="B10" s="3">
        <v>0.0015509259259259259</v>
      </c>
      <c r="C10" s="1">
        <v>516.0</v>
      </c>
      <c r="D10" s="1">
        <v>21.0</v>
      </c>
      <c r="E10" s="1">
        <v>320.0</v>
      </c>
      <c r="F10" s="1">
        <v>36.0</v>
      </c>
    </row>
    <row r="11">
      <c r="A11" s="1" t="s">
        <v>15</v>
      </c>
      <c r="B11" s="3">
        <v>0.0011805555555555556</v>
      </c>
      <c r="C11" s="1">
        <v>294.0</v>
      </c>
      <c r="D11" s="1">
        <v>14.0</v>
      </c>
      <c r="E11" s="1">
        <v>109.0</v>
      </c>
      <c r="F11" s="1">
        <v>18.0</v>
      </c>
    </row>
    <row r="12">
      <c r="A12" s="1" t="s">
        <v>16</v>
      </c>
      <c r="B12" s="3">
        <v>0.0016319444444444445</v>
      </c>
      <c r="C12" s="1">
        <v>524.0</v>
      </c>
      <c r="D12" s="1">
        <v>20.0</v>
      </c>
      <c r="E12" s="1">
        <v>331.0</v>
      </c>
      <c r="F12" s="1">
        <v>37.0</v>
      </c>
    </row>
    <row r="13">
      <c r="A13" s="1" t="s">
        <v>17</v>
      </c>
      <c r="B13" s="3">
        <v>9.027777777777777E-4</v>
      </c>
      <c r="C13" s="1">
        <v>286.0</v>
      </c>
      <c r="D13" s="1">
        <v>20.0</v>
      </c>
      <c r="E13" s="1">
        <v>104.0</v>
      </c>
      <c r="F13" s="1">
        <v>21.0</v>
      </c>
    </row>
    <row r="14">
      <c r="A14" s="1" t="s">
        <v>18</v>
      </c>
      <c r="B14" s="3">
        <v>5.671296296296297E-4</v>
      </c>
      <c r="C14" s="1">
        <v>174.0</v>
      </c>
      <c r="D14" s="1">
        <v>8.0</v>
      </c>
      <c r="E14" s="1">
        <v>39.0</v>
      </c>
      <c r="F14" s="1">
        <v>11.0</v>
      </c>
    </row>
    <row r="15">
      <c r="A15" s="1" t="s">
        <v>19</v>
      </c>
      <c r="B15" s="3">
        <v>0.002337962962962963</v>
      </c>
      <c r="C15" s="1">
        <v>432.0</v>
      </c>
      <c r="D15" s="1">
        <v>34.0</v>
      </c>
      <c r="E15" s="1">
        <v>247.0</v>
      </c>
      <c r="F15" s="1">
        <v>31.0</v>
      </c>
    </row>
    <row r="16">
      <c r="A16" s="1" t="s">
        <v>20</v>
      </c>
      <c r="B16" s="3">
        <v>0.002662037037037037</v>
      </c>
      <c r="C16" s="1">
        <v>754.0</v>
      </c>
      <c r="D16" s="1">
        <v>37.0</v>
      </c>
      <c r="E16" s="1">
        <v>554.0</v>
      </c>
      <c r="F16" s="1">
        <v>61.0</v>
      </c>
    </row>
    <row r="17">
      <c r="A17" s="1" t="s">
        <v>21</v>
      </c>
      <c r="B17" s="3">
        <v>0.003472222222222222</v>
      </c>
      <c r="C17" s="1">
        <v>646.0</v>
      </c>
      <c r="D17" s="1">
        <v>33.0</v>
      </c>
      <c r="E17" s="1">
        <v>447.0</v>
      </c>
      <c r="F17" s="1">
        <v>42.0</v>
      </c>
    </row>
    <row r="18">
      <c r="A18" s="1" t="s">
        <v>22</v>
      </c>
      <c r="B18" s="3">
        <v>0.001875</v>
      </c>
      <c r="C18" s="1">
        <v>468.0</v>
      </c>
      <c r="D18" s="1">
        <v>17.0</v>
      </c>
      <c r="E18" s="1">
        <v>279.0</v>
      </c>
      <c r="F18" s="1">
        <v>28.0</v>
      </c>
    </row>
    <row r="20">
      <c r="A20" s="4"/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>
      <c r="A21" s="4" t="s">
        <v>23</v>
      </c>
      <c r="B21" s="5">
        <f t="shared" ref="B21:F21" si="1">AVERAGE(B2:B18)</f>
        <v>0.001540713508</v>
      </c>
      <c r="C21" s="6">
        <f t="shared" si="1"/>
        <v>429</v>
      </c>
      <c r="D21" s="6">
        <f t="shared" si="1"/>
        <v>22.41176471</v>
      </c>
      <c r="E21" s="6">
        <f t="shared" si="1"/>
        <v>245.7647059</v>
      </c>
      <c r="F21" s="6">
        <f t="shared" si="1"/>
        <v>29.94117647</v>
      </c>
    </row>
    <row r="22">
      <c r="A22" s="7" t="s">
        <v>24</v>
      </c>
      <c r="B22" s="8">
        <f t="shared" ref="B22:F22" si="2">STDEV(B2:B18)</f>
        <v>0.0009168562817</v>
      </c>
      <c r="C22" s="8">
        <f t="shared" si="2"/>
        <v>231.6597721</v>
      </c>
      <c r="D22" s="8">
        <f t="shared" si="2"/>
        <v>15.09163188</v>
      </c>
      <c r="E22" s="8">
        <f t="shared" si="2"/>
        <v>198.3814285</v>
      </c>
      <c r="F22" s="8">
        <f t="shared" si="2"/>
        <v>19.66427785</v>
      </c>
    </row>
    <row r="23">
      <c r="B23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75"/>
    <col customWidth="1" min="4" max="4" width="22.0"/>
  </cols>
  <sheetData>
    <row r="1">
      <c r="A1" s="10" t="s">
        <v>25</v>
      </c>
      <c r="B1" s="10" t="s">
        <v>26</v>
      </c>
      <c r="C1" s="10" t="s">
        <v>27</v>
      </c>
      <c r="D1" s="10" t="s">
        <v>28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0">
        <v>1.0</v>
      </c>
      <c r="B2" s="10">
        <v>142.0</v>
      </c>
      <c r="C2" s="10">
        <v>3.0</v>
      </c>
      <c r="D2" s="10">
        <v>24.0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10">
        <v>2.0</v>
      </c>
      <c r="B3" s="10">
        <v>452.0</v>
      </c>
      <c r="C3" s="10">
        <v>13.0</v>
      </c>
      <c r="D3" s="10">
        <v>256.0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10">
        <v>3.0</v>
      </c>
      <c r="B4" s="10">
        <v>278.0</v>
      </c>
      <c r="C4" s="10">
        <v>8.0</v>
      </c>
      <c r="D4" s="10">
        <v>88.0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10">
        <v>4.0</v>
      </c>
      <c r="B5" s="10">
        <v>422.0</v>
      </c>
      <c r="C5" s="10">
        <v>12.0</v>
      </c>
      <c r="D5" s="10">
        <v>254.0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10">
        <v>5.0</v>
      </c>
      <c r="B6" s="10">
        <v>222.0</v>
      </c>
      <c r="C6" s="10">
        <v>9.0</v>
      </c>
      <c r="D6" s="10">
        <v>80.0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10">
        <v>6.0</v>
      </c>
      <c r="B7" s="10">
        <v>326.0</v>
      </c>
      <c r="C7" s="10">
        <v>10.0</v>
      </c>
      <c r="D7" s="10">
        <v>158.0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10">
        <v>7.0</v>
      </c>
      <c r="B8" s="10">
        <v>126.0</v>
      </c>
      <c r="C8" s="10">
        <v>3.0</v>
      </c>
      <c r="D8" s="10">
        <v>12.0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0">
        <v>8.0</v>
      </c>
      <c r="B9" s="10">
        <v>208.0</v>
      </c>
      <c r="C9" s="10">
        <v>5.0</v>
      </c>
      <c r="D9" s="10">
        <v>54.0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10">
        <v>9.0</v>
      </c>
      <c r="B10" s="10">
        <v>1074.0</v>
      </c>
      <c r="C10" s="10">
        <v>32.0</v>
      </c>
      <c r="D10" s="10">
        <v>884.0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10">
        <v>10.0</v>
      </c>
      <c r="B11" s="10">
        <v>464.0</v>
      </c>
      <c r="C11" s="10">
        <v>13.0</v>
      </c>
      <c r="D11" s="10">
        <v>296.0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0">
        <v>11.0</v>
      </c>
      <c r="B12" s="10">
        <v>222.0</v>
      </c>
      <c r="C12" s="10">
        <v>4.0</v>
      </c>
      <c r="D12" s="10">
        <v>94.0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10">
        <v>12.0</v>
      </c>
      <c r="B13" s="10">
        <v>218.0</v>
      </c>
      <c r="C13" s="10">
        <v>5.0</v>
      </c>
      <c r="D13" s="10">
        <v>58.0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0">
        <v>13.0</v>
      </c>
      <c r="B14" s="10">
        <v>526.0</v>
      </c>
      <c r="C14" s="10">
        <v>17.0</v>
      </c>
      <c r="D14" s="10">
        <v>348.0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0">
        <v>14.0</v>
      </c>
      <c r="B15" s="10">
        <v>122.0</v>
      </c>
      <c r="C15" s="10">
        <v>3.0</v>
      </c>
      <c r="D15" s="10">
        <v>10.0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0">
        <v>15.0</v>
      </c>
      <c r="B16" s="10">
        <v>122.0</v>
      </c>
      <c r="C16" s="10">
        <v>3.0</v>
      </c>
      <c r="D16" s="10">
        <v>10.0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10">
        <v>16.0</v>
      </c>
      <c r="B17" s="10">
        <v>466.0</v>
      </c>
      <c r="C17" s="10">
        <v>17.0</v>
      </c>
      <c r="D17" s="10">
        <v>266.0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10">
        <v>17.0</v>
      </c>
      <c r="B18" s="10">
        <v>170.0</v>
      </c>
      <c r="C18" s="10">
        <v>4.0</v>
      </c>
      <c r="D18" s="10">
        <v>56.0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A19" s="10">
        <v>18.0</v>
      </c>
      <c r="B19" s="10">
        <v>234.0</v>
      </c>
      <c r="C19" s="10">
        <v>13.0</v>
      </c>
      <c r="D19" s="10">
        <v>100.0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A20" s="10">
        <v>19.0</v>
      </c>
      <c r="B20" s="10">
        <v>622.0</v>
      </c>
      <c r="C20" s="10">
        <v>17.0</v>
      </c>
      <c r="D20" s="10">
        <v>452.0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A21" s="10">
        <v>20.0</v>
      </c>
      <c r="B21" s="10">
        <v>266.0</v>
      </c>
      <c r="C21" s="10">
        <v>12.0</v>
      </c>
      <c r="D21" s="10">
        <v>124.0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A22" s="10">
        <v>21.0</v>
      </c>
      <c r="B22" s="10">
        <v>326.0</v>
      </c>
      <c r="C22" s="10">
        <v>8.0</v>
      </c>
      <c r="D22" s="10">
        <v>168.0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A23" s="10">
        <v>22.0</v>
      </c>
      <c r="B23" s="10">
        <v>558.0</v>
      </c>
      <c r="C23" s="10">
        <v>17.0</v>
      </c>
      <c r="D23" s="10">
        <v>386.0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0">
        <v>23.0</v>
      </c>
      <c r="B24" s="10">
        <v>714.0</v>
      </c>
      <c r="C24" s="10">
        <v>20.0</v>
      </c>
      <c r="D24" s="10">
        <v>544.0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A25" s="10">
        <v>24.0</v>
      </c>
      <c r="B25" s="10">
        <v>134.0</v>
      </c>
      <c r="C25" s="10">
        <v>4.0</v>
      </c>
      <c r="D25" s="10">
        <v>16.0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A26" s="10">
        <v>25.0</v>
      </c>
      <c r="B26" s="10">
        <v>122.0</v>
      </c>
      <c r="C26" s="10">
        <v>3.0</v>
      </c>
      <c r="D26" s="10">
        <v>10.0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A27" s="10">
        <v>26.0</v>
      </c>
      <c r="B27" s="10">
        <v>1294.0</v>
      </c>
      <c r="C27" s="10">
        <v>37.0</v>
      </c>
      <c r="D27" s="10">
        <v>1094.0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A28" s="10">
        <v>27.0</v>
      </c>
      <c r="B28" s="10">
        <v>352.0</v>
      </c>
      <c r="C28" s="10">
        <v>11.0</v>
      </c>
      <c r="D28" s="10">
        <v>178.0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A29" s="10">
        <v>28.0</v>
      </c>
      <c r="B29" s="10">
        <v>1080.0</v>
      </c>
      <c r="C29" s="10">
        <v>28.0</v>
      </c>
      <c r="D29" s="10">
        <v>908.0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A30" s="10">
        <v>29.0</v>
      </c>
      <c r="B30" s="10">
        <v>780.0</v>
      </c>
      <c r="C30" s="10">
        <v>21.0</v>
      </c>
      <c r="D30" s="10">
        <v>618.0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A31" s="10">
        <v>30.0</v>
      </c>
      <c r="B31" s="10">
        <v>278.0</v>
      </c>
      <c r="C31" s="10">
        <v>7.0</v>
      </c>
      <c r="D31" s="10">
        <v>118.0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A32" s="10">
        <v>31.0</v>
      </c>
      <c r="B32" s="10">
        <v>114.0</v>
      </c>
      <c r="C32" s="10">
        <v>3.0</v>
      </c>
      <c r="D32" s="10">
        <v>6.0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A33" s="10">
        <v>32.0</v>
      </c>
      <c r="B33" s="10">
        <v>512.0</v>
      </c>
      <c r="C33" s="10">
        <v>13.0</v>
      </c>
      <c r="D33" s="10">
        <v>350.0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A34" s="10">
        <v>33.0</v>
      </c>
      <c r="B34" s="10">
        <v>218.0</v>
      </c>
      <c r="C34" s="10">
        <v>5.0</v>
      </c>
      <c r="D34" s="10">
        <v>58.0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A35" s="10">
        <v>34.0</v>
      </c>
      <c r="B35" s="10">
        <v>296.0</v>
      </c>
      <c r="C35" s="10">
        <v>10.0</v>
      </c>
      <c r="D35" s="10">
        <v>140.0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A36" s="10">
        <v>35.0</v>
      </c>
      <c r="B36" s="10">
        <v>304.0</v>
      </c>
      <c r="C36" s="10">
        <v>10.0</v>
      </c>
      <c r="D36" s="10">
        <v>126.0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A37" s="10">
        <v>36.0</v>
      </c>
      <c r="B37" s="10">
        <v>262.0</v>
      </c>
      <c r="C37" s="10">
        <v>7.0</v>
      </c>
      <c r="D37" s="10">
        <v>104.0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0">
        <v>37.0</v>
      </c>
      <c r="B38" s="10">
        <v>776.0</v>
      </c>
      <c r="C38" s="10">
        <v>24.0</v>
      </c>
      <c r="D38" s="10">
        <v>594.0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10">
        <v>38.0</v>
      </c>
      <c r="B39" s="10">
        <v>418.0</v>
      </c>
      <c r="C39" s="10">
        <v>16.0</v>
      </c>
      <c r="D39" s="10">
        <v>254.0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10">
        <v>39.0</v>
      </c>
      <c r="B40" s="10">
        <v>122.0</v>
      </c>
      <c r="C40" s="10">
        <v>2.0</v>
      </c>
      <c r="D40" s="10">
        <v>10.0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10">
        <v>40.0</v>
      </c>
      <c r="B41" s="10">
        <v>970.0</v>
      </c>
      <c r="C41" s="10">
        <v>32.0</v>
      </c>
      <c r="D41" s="10">
        <v>770.0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10">
        <v>41.0</v>
      </c>
      <c r="B42" s="10">
        <v>650.0</v>
      </c>
      <c r="C42" s="10">
        <v>21.0</v>
      </c>
      <c r="D42" s="10">
        <v>478.0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10">
        <v>42.0</v>
      </c>
      <c r="B43" s="10">
        <v>304.0</v>
      </c>
      <c r="C43" s="10">
        <v>7.0</v>
      </c>
      <c r="D43" s="10">
        <v>152.0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A44" s="10">
        <v>43.0</v>
      </c>
      <c r="B44" s="10">
        <v>420.0</v>
      </c>
      <c r="C44" s="10">
        <v>9.0</v>
      </c>
      <c r="D44" s="10">
        <v>256.0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10">
        <v>44.0</v>
      </c>
      <c r="B45" s="10">
        <v>278.0</v>
      </c>
      <c r="C45" s="10">
        <v>10.0</v>
      </c>
      <c r="D45" s="10">
        <v>104.0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10">
        <v>45.0</v>
      </c>
      <c r="B46" s="10">
        <v>126.0</v>
      </c>
      <c r="C46" s="10">
        <v>3.0</v>
      </c>
      <c r="D46" s="10">
        <v>12.0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A47" s="10">
        <v>46.0</v>
      </c>
      <c r="B47" s="10">
        <v>186.0</v>
      </c>
      <c r="C47" s="10">
        <v>4.0</v>
      </c>
      <c r="D47" s="10">
        <v>68.0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10">
        <v>47.0</v>
      </c>
      <c r="B48" s="10">
        <v>114.0</v>
      </c>
      <c r="C48" s="10">
        <v>3.0</v>
      </c>
      <c r="D48" s="10">
        <v>6.0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10">
        <v>48.0</v>
      </c>
      <c r="B49" s="10">
        <v>2000.0</v>
      </c>
      <c r="C49" s="10">
        <v>65.0</v>
      </c>
      <c r="D49" s="10">
        <v>1800.0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A50" s="10">
        <v>49.0</v>
      </c>
      <c r="B50" s="10">
        <v>452.0</v>
      </c>
      <c r="C50" s="10">
        <v>11.0</v>
      </c>
      <c r="D50" s="10">
        <v>292.0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10">
        <v>50.0</v>
      </c>
      <c r="B51" s="10">
        <v>300.0</v>
      </c>
      <c r="C51" s="10">
        <v>9.0</v>
      </c>
      <c r="D51" s="10">
        <v>132.0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10">
        <v>51.0</v>
      </c>
      <c r="B52" s="10">
        <v>234.0</v>
      </c>
      <c r="C52" s="10">
        <v>10.0</v>
      </c>
      <c r="D52" s="10">
        <v>100.0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A53" s="10">
        <v>52.0</v>
      </c>
      <c r="B53" s="10">
        <v>182.0</v>
      </c>
      <c r="C53" s="10">
        <v>7.0</v>
      </c>
      <c r="D53" s="10">
        <v>50.0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10">
        <v>53.0</v>
      </c>
      <c r="B54" s="10">
        <v>122.0</v>
      </c>
      <c r="C54" s="10">
        <v>2.0</v>
      </c>
      <c r="D54" s="10">
        <v>10.0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10">
        <v>54.0</v>
      </c>
      <c r="B55" s="10">
        <v>158.0</v>
      </c>
      <c r="C55" s="10">
        <v>5.0</v>
      </c>
      <c r="D55" s="10">
        <v>28.0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0">
        <v>55.0</v>
      </c>
      <c r="B56" s="10">
        <v>1234.0</v>
      </c>
      <c r="C56" s="10">
        <v>38.0</v>
      </c>
      <c r="D56" s="10">
        <v>1034.0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10">
        <v>56.0</v>
      </c>
      <c r="B57" s="10">
        <v>1442.0</v>
      </c>
      <c r="C57" s="10">
        <v>38.0</v>
      </c>
      <c r="D57" s="10">
        <v>1270.0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10">
        <v>57.0</v>
      </c>
      <c r="B58" s="10">
        <v>214.0</v>
      </c>
      <c r="C58" s="10">
        <v>8.0</v>
      </c>
      <c r="D58" s="10">
        <v>68.0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A59" s="10">
        <v>58.0</v>
      </c>
      <c r="B59" s="10">
        <v>202.0</v>
      </c>
      <c r="C59" s="10">
        <v>7.0</v>
      </c>
      <c r="D59" s="10">
        <v>76.0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10">
        <v>59.0</v>
      </c>
      <c r="B60" s="10">
        <v>262.0</v>
      </c>
      <c r="C60" s="10">
        <v>9.0</v>
      </c>
      <c r="D60" s="10">
        <v>104.0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10">
        <v>60.0</v>
      </c>
      <c r="B61" s="10">
        <v>370.0</v>
      </c>
      <c r="C61" s="10">
        <v>6.0</v>
      </c>
      <c r="D61" s="10">
        <v>212.0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A62" s="10">
        <v>61.0</v>
      </c>
      <c r="B62" s="10">
        <v>256.0</v>
      </c>
      <c r="C62" s="10">
        <v>7.0</v>
      </c>
      <c r="D62" s="10">
        <v>86.0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0">
        <v>62.0</v>
      </c>
      <c r="B63" s="10">
        <v>804.0</v>
      </c>
      <c r="C63" s="10">
        <v>33.0</v>
      </c>
      <c r="D63" s="10">
        <v>604.0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10">
        <v>63.0</v>
      </c>
      <c r="B64" s="10">
        <v>932.0</v>
      </c>
      <c r="C64" s="10">
        <v>27.0</v>
      </c>
      <c r="D64" s="10">
        <v>748.0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10">
        <v>64.0</v>
      </c>
      <c r="B65" s="10">
        <v>290.0</v>
      </c>
      <c r="C65" s="10">
        <v>10.0</v>
      </c>
      <c r="D65" s="10">
        <v>106.0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10">
        <v>65.0</v>
      </c>
      <c r="B66" s="10">
        <v>170.0</v>
      </c>
      <c r="C66" s="10">
        <v>4.0</v>
      </c>
      <c r="D66" s="10">
        <v>36.0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10">
        <v>66.0</v>
      </c>
      <c r="B67" s="10">
        <v>342.0</v>
      </c>
      <c r="C67" s="10">
        <v>14.0</v>
      </c>
      <c r="D67" s="10">
        <v>200.0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A68" s="10">
        <v>67.0</v>
      </c>
      <c r="B68" s="10">
        <v>186.0</v>
      </c>
      <c r="C68" s="10">
        <v>5.0</v>
      </c>
      <c r="D68" s="10">
        <v>42.0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10">
        <v>68.0</v>
      </c>
      <c r="B69" s="10">
        <v>454.0</v>
      </c>
      <c r="C69" s="10">
        <v>18.0</v>
      </c>
      <c r="D69" s="10">
        <v>258.0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A70" s="10">
        <v>69.0</v>
      </c>
      <c r="B70" s="10">
        <v>186.0</v>
      </c>
      <c r="C70" s="10">
        <v>4.0</v>
      </c>
      <c r="D70" s="10">
        <v>46.0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10">
        <v>70.0</v>
      </c>
      <c r="B71" s="10">
        <v>398.0</v>
      </c>
      <c r="C71" s="10">
        <v>10.0</v>
      </c>
      <c r="D71" s="10">
        <v>238.0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10">
        <v>71.0</v>
      </c>
      <c r="B72" s="10">
        <v>190.0</v>
      </c>
      <c r="C72" s="10">
        <v>4.0</v>
      </c>
      <c r="D72" s="10">
        <v>66.0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A73" s="10">
        <v>72.0</v>
      </c>
      <c r="B73" s="10">
        <v>476.0</v>
      </c>
      <c r="C73" s="10">
        <v>14.0</v>
      </c>
      <c r="D73" s="10">
        <v>316.0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10">
        <v>73.0</v>
      </c>
      <c r="B74" s="10">
        <v>338.0</v>
      </c>
      <c r="C74" s="10">
        <v>11.0</v>
      </c>
      <c r="D74" s="10">
        <v>170.0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10">
        <v>74.0</v>
      </c>
      <c r="B75" s="10">
        <v>298.0</v>
      </c>
      <c r="C75" s="10">
        <v>16.0</v>
      </c>
      <c r="D75" s="10">
        <v>150.0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A76" s="10">
        <v>75.0</v>
      </c>
      <c r="B76" s="10">
        <v>122.0</v>
      </c>
      <c r="C76" s="10">
        <v>2.0</v>
      </c>
      <c r="D76" s="10">
        <v>10.0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A77" s="10">
        <v>76.0</v>
      </c>
      <c r="B77" s="10">
        <v>146.0</v>
      </c>
      <c r="C77" s="10">
        <v>3.0</v>
      </c>
      <c r="D77" s="10">
        <v>24.0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A78" s="10">
        <v>77.0</v>
      </c>
      <c r="B78" s="10">
        <v>564.0</v>
      </c>
      <c r="C78" s="10">
        <v>27.0</v>
      </c>
      <c r="D78" s="10">
        <v>376.0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A79" s="10">
        <v>78.0</v>
      </c>
      <c r="B79" s="10">
        <v>970.0</v>
      </c>
      <c r="C79" s="10">
        <v>29.0</v>
      </c>
      <c r="D79" s="10">
        <v>808.0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10">
        <v>79.0</v>
      </c>
      <c r="B80" s="10">
        <v>122.0</v>
      </c>
      <c r="C80" s="10">
        <v>2.0</v>
      </c>
      <c r="D80" s="10">
        <v>10.0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A81" s="10">
        <v>80.0</v>
      </c>
      <c r="B81" s="10">
        <v>1072.0</v>
      </c>
      <c r="C81" s="10">
        <v>31.0</v>
      </c>
      <c r="D81" s="10">
        <v>900.0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A82" s="10">
        <v>81.0</v>
      </c>
      <c r="B82" s="10">
        <v>664.0</v>
      </c>
      <c r="C82" s="10">
        <v>20.0</v>
      </c>
      <c r="D82" s="10">
        <v>482.0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10">
        <v>82.0</v>
      </c>
      <c r="B83" s="10">
        <v>210.0</v>
      </c>
      <c r="C83" s="10">
        <v>6.0</v>
      </c>
      <c r="D83" s="10">
        <v>84.0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10">
        <v>83.0</v>
      </c>
      <c r="B84" s="10">
        <v>458.0</v>
      </c>
      <c r="C84" s="10">
        <v>11.0</v>
      </c>
      <c r="D84" s="10">
        <v>276.0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A85" s="10">
        <v>84.0</v>
      </c>
      <c r="B85" s="10">
        <v>886.0</v>
      </c>
      <c r="C85" s="10">
        <v>27.0</v>
      </c>
      <c r="D85" s="10">
        <v>700.0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10">
        <v>85.0</v>
      </c>
      <c r="B86" s="10">
        <v>146.0</v>
      </c>
      <c r="C86" s="10">
        <v>4.0</v>
      </c>
      <c r="D86" s="10">
        <v>22.0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10">
        <v>86.0</v>
      </c>
      <c r="B87" s="10">
        <v>322.0</v>
      </c>
      <c r="C87" s="10">
        <v>10.0</v>
      </c>
      <c r="D87" s="10">
        <v>140.0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A88" s="10">
        <v>87.0</v>
      </c>
      <c r="B88" s="10">
        <v>310.0</v>
      </c>
      <c r="C88" s="10">
        <v>9.0</v>
      </c>
      <c r="D88" s="10">
        <v>128.0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0">
        <v>88.0</v>
      </c>
      <c r="B89" s="10">
        <v>368.0</v>
      </c>
      <c r="C89" s="10">
        <v>13.0</v>
      </c>
      <c r="D89" s="10">
        <v>214.0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10">
        <v>89.0</v>
      </c>
      <c r="B90" s="10">
        <v>214.0</v>
      </c>
      <c r="C90" s="10">
        <v>7.0</v>
      </c>
      <c r="D90" s="10">
        <v>58.0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A91" s="10">
        <v>90.0</v>
      </c>
      <c r="B91" s="10">
        <v>218.0</v>
      </c>
      <c r="C91" s="10">
        <v>7.0</v>
      </c>
      <c r="D91" s="10">
        <v>98.0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10">
        <v>91.0</v>
      </c>
      <c r="B92" s="10">
        <v>386.0</v>
      </c>
      <c r="C92" s="10">
        <v>16.0</v>
      </c>
      <c r="D92" s="10">
        <v>188.0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10">
        <v>92.0</v>
      </c>
      <c r="B93" s="10">
        <v>202.0</v>
      </c>
      <c r="C93" s="10">
        <v>8.0</v>
      </c>
      <c r="D93" s="10">
        <v>66.0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10">
        <v>93.0</v>
      </c>
      <c r="B94" s="10">
        <v>420.0</v>
      </c>
      <c r="C94" s="10">
        <v>8.0</v>
      </c>
      <c r="D94" s="10">
        <v>250.0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10">
        <v>94.0</v>
      </c>
      <c r="B95" s="10">
        <v>524.0</v>
      </c>
      <c r="C95" s="10">
        <v>14.0</v>
      </c>
      <c r="D95" s="10">
        <v>376.0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10">
        <v>95.0</v>
      </c>
      <c r="B96" s="10">
        <v>1134.0</v>
      </c>
      <c r="C96" s="10">
        <v>38.0</v>
      </c>
      <c r="D96" s="10">
        <v>934.0</v>
      </c>
      <c r="E96" s="11"/>
      <c r="F96" s="11"/>
      <c r="G96" s="11"/>
      <c r="H96" s="11"/>
      <c r="I96" s="11"/>
      <c r="J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0">
        <v>96.0</v>
      </c>
      <c r="B97" s="10">
        <v>928.0</v>
      </c>
      <c r="C97" s="10">
        <v>27.0</v>
      </c>
      <c r="D97" s="10">
        <v>760.0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0">
        <v>97.0</v>
      </c>
      <c r="B98" s="10">
        <v>118.0</v>
      </c>
      <c r="C98" s="10">
        <v>2.0</v>
      </c>
      <c r="D98" s="10">
        <v>8.0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0">
        <v>98.0</v>
      </c>
      <c r="B99" s="10">
        <v>122.0</v>
      </c>
      <c r="C99" s="10">
        <v>2.0</v>
      </c>
      <c r="D99" s="10">
        <v>10.0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0">
        <v>99.0</v>
      </c>
      <c r="B100" s="10">
        <v>178.0</v>
      </c>
      <c r="C100" s="10">
        <v>5.0</v>
      </c>
      <c r="D100" s="10">
        <v>56.0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0">
        <v>100.0</v>
      </c>
      <c r="B101" s="10">
        <v>162.0</v>
      </c>
      <c r="C101" s="10">
        <v>5.0</v>
      </c>
      <c r="D101" s="10">
        <v>30.0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7" t="s">
        <v>23</v>
      </c>
      <c r="B103" s="13">
        <f t="shared" ref="B103:D103" si="1">AVERAGE(B2:B101)</f>
        <v>418.48</v>
      </c>
      <c r="C103" s="13">
        <f t="shared" si="1"/>
        <v>12.63</v>
      </c>
      <c r="D103" s="13">
        <f t="shared" si="1"/>
        <v>264.02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4" t="s">
        <v>24</v>
      </c>
      <c r="B104" s="15">
        <f t="shared" ref="B104:D104" si="2">STDEV(B2:B101)</f>
        <v>344.4955463</v>
      </c>
      <c r="C104" s="15">
        <f t="shared" si="2"/>
        <v>10.8810418</v>
      </c>
      <c r="D104" s="15">
        <f t="shared" si="2"/>
        <v>325.9902081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2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2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2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2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2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2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2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2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2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2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2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2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2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2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2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2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2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2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2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2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2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2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2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2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2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2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2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2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2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2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2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2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2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2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2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2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2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2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2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2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2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2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2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2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2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2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2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2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2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2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2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2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2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2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2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2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2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2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2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2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2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2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2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2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2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2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2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2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2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2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2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2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2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2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2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2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2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2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2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2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2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2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2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2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2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2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2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2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2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2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2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2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2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2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2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2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2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2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2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2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2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2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2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2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2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2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2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2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2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2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2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2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2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2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2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2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2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2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2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2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2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2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2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2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2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2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2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2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2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2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2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2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2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2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2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2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2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2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2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2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2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2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2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2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2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2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2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2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2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2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2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2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2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2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2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2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2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2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2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2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2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2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2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2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2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2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2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2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2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2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2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2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2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2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2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2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2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2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2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2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2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2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2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2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2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2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2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2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2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2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2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2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2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2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2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2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2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2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2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2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2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2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2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2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2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2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2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2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2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2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2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2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2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2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2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2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2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2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2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2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2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2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2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2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2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2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2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2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2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2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2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2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2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2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2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2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2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2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2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2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2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2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2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2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2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2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2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2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2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2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2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2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2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2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2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2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2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2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2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2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2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2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2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2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2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2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2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2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2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2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2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2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2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2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2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2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2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2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2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2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2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2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2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2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2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2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2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2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2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2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2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2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2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2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2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2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2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2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2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2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2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2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2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2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2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2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2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2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2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2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2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2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2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2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2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2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2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2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2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2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2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2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2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2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2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2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2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2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2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2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2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2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2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2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2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2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2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2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2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2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2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2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2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2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2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2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2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2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2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2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2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2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2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2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2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2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2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2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2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2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2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2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2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2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2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2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2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2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2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2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2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2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2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2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2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2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2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2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2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2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2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2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2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2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2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2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2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2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2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2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2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2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2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2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2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2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2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2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2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2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2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2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2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2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2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2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2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2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2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2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2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2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2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2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2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2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2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2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2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2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2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2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2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2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2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2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2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2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2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2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2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2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2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2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2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2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2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2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2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2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2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2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2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2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2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2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2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2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2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2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2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2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2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2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2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2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2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2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2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2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2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2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2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2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2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2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2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2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2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2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2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2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2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2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2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2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2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2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2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2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2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2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2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2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2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2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2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2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A1000" s="12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1">
      <c r="A1" s="10" t="s">
        <v>29</v>
      </c>
      <c r="B1" s="10" t="s">
        <v>26</v>
      </c>
      <c r="C1" s="10" t="s">
        <v>27</v>
      </c>
      <c r="D1" s="10" t="s">
        <v>28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0">
        <v>1.0</v>
      </c>
      <c r="B2" s="10">
        <v>308.0</v>
      </c>
      <c r="C2" s="10">
        <v>15.0</v>
      </c>
      <c r="D2" s="10">
        <v>116.0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>
        <v>2.0</v>
      </c>
      <c r="B3" s="10">
        <v>232.0</v>
      </c>
      <c r="C3" s="10">
        <v>7.0</v>
      </c>
      <c r="D3" s="10">
        <v>65.0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>
        <v>3.0</v>
      </c>
      <c r="B4" s="10">
        <v>916.0</v>
      </c>
      <c r="C4" s="10">
        <v>41.0</v>
      </c>
      <c r="D4" s="10">
        <v>716.0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>
        <v>4.0</v>
      </c>
      <c r="B5" s="10">
        <v>334.0</v>
      </c>
      <c r="C5" s="10">
        <v>15.0</v>
      </c>
      <c r="D5" s="10">
        <v>142.0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>
        <v>5.0</v>
      </c>
      <c r="B6" s="10">
        <v>2782.0</v>
      </c>
      <c r="C6" s="10">
        <v>122.0</v>
      </c>
      <c r="D6" s="10">
        <v>2604.0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>
        <v>6.0</v>
      </c>
      <c r="B7" s="10">
        <v>284.0</v>
      </c>
      <c r="C7" s="10">
        <v>12.0</v>
      </c>
      <c r="D7" s="10">
        <v>92.0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>
        <v>7.0</v>
      </c>
      <c r="B8" s="10">
        <v>464.0</v>
      </c>
      <c r="C8" s="10">
        <v>30.0</v>
      </c>
      <c r="D8" s="10">
        <v>270.0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>
        <v>8.0</v>
      </c>
      <c r="B9" s="10">
        <v>274.0</v>
      </c>
      <c r="C9" s="10">
        <v>10.0</v>
      </c>
      <c r="D9" s="10">
        <v>86.0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>
        <v>9.0</v>
      </c>
      <c r="B10" s="10">
        <v>282.0</v>
      </c>
      <c r="C10" s="10">
        <v>10.0</v>
      </c>
      <c r="D10" s="10">
        <v>90.0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>
        <v>10.0</v>
      </c>
      <c r="B11" s="10">
        <v>238.0</v>
      </c>
      <c r="C11" s="10">
        <v>7.0</v>
      </c>
      <c r="D11" s="10">
        <v>68.0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>
        <v>11.0</v>
      </c>
      <c r="B12" s="10">
        <v>1348.0</v>
      </c>
      <c r="C12" s="10">
        <v>71.0</v>
      </c>
      <c r="D12" s="10">
        <v>1148.0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>
        <v>12.0</v>
      </c>
      <c r="B13" s="10">
        <v>366.0</v>
      </c>
      <c r="C13" s="10">
        <v>18.0</v>
      </c>
      <c r="D13" s="10">
        <v>172.0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>
        <v>13.0</v>
      </c>
      <c r="B14" s="10">
        <v>282.0</v>
      </c>
      <c r="C14" s="10">
        <v>10.0</v>
      </c>
      <c r="D14" s="10">
        <v>90.0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>
        <v>14.0</v>
      </c>
      <c r="B15" s="10">
        <v>364.0</v>
      </c>
      <c r="C15" s="10">
        <v>15.0</v>
      </c>
      <c r="D15" s="10">
        <v>174.0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>
        <v>15.0</v>
      </c>
      <c r="B16" s="10">
        <v>1068.0</v>
      </c>
      <c r="C16" s="10">
        <v>48.0</v>
      </c>
      <c r="D16" s="10">
        <v>871.0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>
        <v>16.0</v>
      </c>
      <c r="B17" s="10">
        <v>474.0</v>
      </c>
      <c r="C17" s="10">
        <v>22.0</v>
      </c>
      <c r="D17" s="10">
        <v>282.0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>
        <v>17.0</v>
      </c>
      <c r="B18" s="10">
        <v>236.0</v>
      </c>
      <c r="C18" s="10">
        <v>7.0</v>
      </c>
      <c r="D18" s="10">
        <v>67.0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>
        <v>18.0</v>
      </c>
      <c r="B19" s="10">
        <v>792.0</v>
      </c>
      <c r="C19" s="10">
        <v>34.0</v>
      </c>
      <c r="D19" s="10">
        <v>600.0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>
        <v>19.0</v>
      </c>
      <c r="B20" s="10">
        <v>284.0</v>
      </c>
      <c r="C20" s="10">
        <v>12.0</v>
      </c>
      <c r="D20" s="10">
        <v>92.0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>
        <v>20.0</v>
      </c>
      <c r="B21" s="10">
        <v>302.0</v>
      </c>
      <c r="C21" s="10">
        <v>12.0</v>
      </c>
      <c r="D21" s="10">
        <v>110.0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>
        <v>21.0</v>
      </c>
      <c r="B22" s="10">
        <v>260.0</v>
      </c>
      <c r="C22" s="10">
        <v>9.0</v>
      </c>
      <c r="D22" s="10">
        <v>79.0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>
        <v>22.0</v>
      </c>
      <c r="B23" s="10">
        <v>416.0</v>
      </c>
      <c r="C23" s="10">
        <v>17.0</v>
      </c>
      <c r="D23" s="10">
        <v>232.0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>
        <v>23.0</v>
      </c>
      <c r="B24" s="10">
        <v>480.0</v>
      </c>
      <c r="C24" s="10">
        <v>22.0</v>
      </c>
      <c r="D24" s="10">
        <v>289.0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>
        <v>24.0</v>
      </c>
      <c r="B25" s="10">
        <v>300.0</v>
      </c>
      <c r="C25" s="10">
        <v>13.0</v>
      </c>
      <c r="D25" s="10">
        <v>108.0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>
        <v>25.0</v>
      </c>
      <c r="B26" s="10">
        <v>282.0</v>
      </c>
      <c r="C26" s="10">
        <v>10.0</v>
      </c>
      <c r="D26" s="10">
        <v>90.0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>
        <v>26.0</v>
      </c>
      <c r="B27" s="10">
        <v>282.0</v>
      </c>
      <c r="C27" s="10">
        <v>10.0</v>
      </c>
      <c r="D27" s="10">
        <v>90.0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>
        <v>27.0</v>
      </c>
      <c r="B28" s="10">
        <v>282.0</v>
      </c>
      <c r="C28" s="10">
        <v>10.0</v>
      </c>
      <c r="D28" s="10">
        <v>90.0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>
        <v>28.0</v>
      </c>
      <c r="B29" s="10">
        <v>406.0</v>
      </c>
      <c r="C29" s="10">
        <v>18.0</v>
      </c>
      <c r="D29" s="10">
        <v>214.0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>
        <v>29.0</v>
      </c>
      <c r="B30" s="10">
        <v>498.0</v>
      </c>
      <c r="C30" s="10">
        <v>25.0</v>
      </c>
      <c r="D30" s="10">
        <v>304.0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>
        <v>30.0</v>
      </c>
      <c r="B31" s="10">
        <v>356.0</v>
      </c>
      <c r="C31" s="10">
        <v>19.0</v>
      </c>
      <c r="D31" s="10">
        <v>164.0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>
        <v>31.0</v>
      </c>
      <c r="B32" s="10">
        <v>416.0</v>
      </c>
      <c r="C32" s="10">
        <v>19.0</v>
      </c>
      <c r="D32" s="10">
        <v>224.0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>
        <v>32.0</v>
      </c>
      <c r="B33" s="10">
        <v>286.0</v>
      </c>
      <c r="C33" s="10">
        <v>12.0</v>
      </c>
      <c r="D33" s="10">
        <v>94.0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>
        <v>33.0</v>
      </c>
      <c r="B34" s="10">
        <v>282.0</v>
      </c>
      <c r="C34" s="10">
        <v>10.0</v>
      </c>
      <c r="D34" s="10">
        <v>90.0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>
        <v>34.0</v>
      </c>
      <c r="B35" s="10">
        <v>282.0</v>
      </c>
      <c r="C35" s="10">
        <v>10.0</v>
      </c>
      <c r="D35" s="10">
        <v>90.0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>
        <v>35.0</v>
      </c>
      <c r="B36" s="10">
        <v>282.0</v>
      </c>
      <c r="C36" s="10">
        <v>10.0</v>
      </c>
      <c r="D36" s="10">
        <v>90.0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>
        <v>36.0</v>
      </c>
      <c r="B37" s="10">
        <v>862.0</v>
      </c>
      <c r="C37" s="10">
        <v>38.0</v>
      </c>
      <c r="D37" s="10">
        <v>662.0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>
        <v>37.0</v>
      </c>
      <c r="B38" s="10">
        <v>1378.0</v>
      </c>
      <c r="C38" s="10">
        <v>60.0</v>
      </c>
      <c r="D38" s="10">
        <v>1180.0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0">
        <v>38.0</v>
      </c>
      <c r="B39" s="10">
        <v>282.0</v>
      </c>
      <c r="C39" s="10">
        <v>10.0</v>
      </c>
      <c r="D39" s="10">
        <v>90.0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0">
        <v>39.0</v>
      </c>
      <c r="B40" s="10">
        <v>836.0</v>
      </c>
      <c r="C40" s="10">
        <v>33.0</v>
      </c>
      <c r="D40" s="10">
        <v>639.0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0">
        <v>40.0</v>
      </c>
      <c r="B41" s="10">
        <v>282.0</v>
      </c>
      <c r="C41" s="10">
        <v>10.0</v>
      </c>
      <c r="D41" s="10">
        <v>90.0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0">
        <v>41.0</v>
      </c>
      <c r="B42" s="10">
        <v>576.0</v>
      </c>
      <c r="C42" s="10">
        <v>30.0</v>
      </c>
      <c r="D42" s="10">
        <v>384.0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0">
        <v>42.0</v>
      </c>
      <c r="B43" s="10">
        <v>282.0</v>
      </c>
      <c r="C43" s="10">
        <v>10.0</v>
      </c>
      <c r="D43" s="10">
        <v>90.0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0">
        <v>43.0</v>
      </c>
      <c r="B44" s="10">
        <v>230.0</v>
      </c>
      <c r="C44" s="10">
        <v>7.0</v>
      </c>
      <c r="D44" s="10">
        <v>64.0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0">
        <v>44.0</v>
      </c>
      <c r="B45" s="10">
        <v>306.0</v>
      </c>
      <c r="C45" s="10">
        <v>12.0</v>
      </c>
      <c r="D45" s="10">
        <v>114.0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0">
        <v>45.0</v>
      </c>
      <c r="B46" s="10">
        <v>254.0</v>
      </c>
      <c r="C46" s="10">
        <v>8.0</v>
      </c>
      <c r="D46" s="10">
        <v>76.0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0">
        <v>46.0</v>
      </c>
      <c r="B47" s="10">
        <v>282.0</v>
      </c>
      <c r="C47" s="10">
        <v>10.0</v>
      </c>
      <c r="D47" s="10">
        <v>90.0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0">
        <v>47.0</v>
      </c>
      <c r="B48" s="10">
        <v>416.0</v>
      </c>
      <c r="C48" s="10">
        <v>18.0</v>
      </c>
      <c r="D48" s="10">
        <v>222.0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0">
        <v>48.0</v>
      </c>
      <c r="B49" s="10">
        <v>282.0</v>
      </c>
      <c r="C49" s="10">
        <v>10.0</v>
      </c>
      <c r="D49" s="10">
        <v>90.0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0">
        <v>49.0</v>
      </c>
      <c r="B50" s="10">
        <v>286.0</v>
      </c>
      <c r="C50" s="10">
        <v>12.0</v>
      </c>
      <c r="D50" s="10">
        <v>94.0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0">
        <v>50.0</v>
      </c>
      <c r="B51" s="10">
        <v>268.0</v>
      </c>
      <c r="C51" s="10">
        <v>10.0</v>
      </c>
      <c r="D51" s="10">
        <v>83.0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0">
        <v>51.0</v>
      </c>
      <c r="B52" s="10">
        <v>228.0</v>
      </c>
      <c r="C52" s="10">
        <v>7.0</v>
      </c>
      <c r="D52" s="10">
        <v>63.0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0">
        <v>52.0</v>
      </c>
      <c r="B53" s="10">
        <v>626.0</v>
      </c>
      <c r="C53" s="10">
        <v>36.0</v>
      </c>
      <c r="D53" s="10">
        <v>432.0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0">
        <v>53.0</v>
      </c>
      <c r="B54" s="10">
        <v>1446.0</v>
      </c>
      <c r="C54" s="10">
        <v>68.0</v>
      </c>
      <c r="D54" s="10">
        <v>1246.0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0">
        <v>54.0</v>
      </c>
      <c r="B55" s="10">
        <v>704.0</v>
      </c>
      <c r="C55" s="10">
        <v>34.0</v>
      </c>
      <c r="D55" s="10">
        <v>512.0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0">
        <v>55.0</v>
      </c>
      <c r="B56" s="10">
        <v>286.0</v>
      </c>
      <c r="C56" s="10">
        <v>12.0</v>
      </c>
      <c r="D56" s="10">
        <v>94.0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0">
        <v>56.0</v>
      </c>
      <c r="B57" s="10">
        <v>542.0</v>
      </c>
      <c r="C57" s="10">
        <v>22.0</v>
      </c>
      <c r="D57" s="10">
        <v>350.0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0">
        <v>57.0</v>
      </c>
      <c r="B58" s="10">
        <v>282.0</v>
      </c>
      <c r="C58" s="10">
        <v>10.0</v>
      </c>
      <c r="D58" s="10">
        <v>90.0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0">
        <v>58.0</v>
      </c>
      <c r="B59" s="10">
        <v>1882.0</v>
      </c>
      <c r="C59" s="10">
        <v>91.0</v>
      </c>
      <c r="D59" s="10">
        <v>1682.0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0">
        <v>59.0</v>
      </c>
      <c r="B60" s="10">
        <v>282.0</v>
      </c>
      <c r="C60" s="10">
        <v>10.0</v>
      </c>
      <c r="D60" s="10">
        <v>90.0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0">
        <v>60.0</v>
      </c>
      <c r="B61" s="10">
        <v>480.0</v>
      </c>
      <c r="C61" s="10">
        <v>22.0</v>
      </c>
      <c r="D61" s="10">
        <v>286.0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0">
        <v>61.0</v>
      </c>
      <c r="B62" s="10">
        <v>228.0</v>
      </c>
      <c r="C62" s="10">
        <v>7.0</v>
      </c>
      <c r="D62" s="10">
        <v>63.0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0">
        <v>62.0</v>
      </c>
      <c r="B63" s="10">
        <v>444.0</v>
      </c>
      <c r="C63" s="10">
        <v>18.0</v>
      </c>
      <c r="D63" s="10">
        <v>247.0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0">
        <v>63.0</v>
      </c>
      <c r="B64" s="10">
        <v>332.0</v>
      </c>
      <c r="C64" s="10">
        <v>19.0</v>
      </c>
      <c r="D64" s="10">
        <v>140.0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0">
        <v>64.0</v>
      </c>
      <c r="B65" s="10">
        <v>396.0</v>
      </c>
      <c r="C65" s="10">
        <v>21.0</v>
      </c>
      <c r="D65" s="10">
        <v>202.0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0">
        <v>65.0</v>
      </c>
      <c r="B66" s="10">
        <v>588.0</v>
      </c>
      <c r="C66" s="10">
        <v>20.0</v>
      </c>
      <c r="D66" s="10">
        <v>388.0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0">
        <v>66.0</v>
      </c>
      <c r="B67" s="10">
        <v>312.0</v>
      </c>
      <c r="C67" s="10">
        <v>12.0</v>
      </c>
      <c r="D67" s="10">
        <v>120.0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0">
        <v>67.0</v>
      </c>
      <c r="B68" s="10">
        <v>276.0</v>
      </c>
      <c r="C68" s="10">
        <v>10.0</v>
      </c>
      <c r="D68" s="10">
        <v>87.0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0">
        <v>68.0</v>
      </c>
      <c r="B69" s="10">
        <v>298.0</v>
      </c>
      <c r="C69" s="10">
        <v>12.0</v>
      </c>
      <c r="D69" s="10">
        <v>106.0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0">
        <v>69.0</v>
      </c>
      <c r="B70" s="10">
        <v>398.0</v>
      </c>
      <c r="C70" s="10">
        <v>17.0</v>
      </c>
      <c r="D70" s="10">
        <v>201.0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0">
        <v>70.0</v>
      </c>
      <c r="B71" s="10">
        <v>1720.0</v>
      </c>
      <c r="C71" s="10">
        <v>73.0</v>
      </c>
      <c r="D71" s="10">
        <v>1520.0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0">
        <v>71.0</v>
      </c>
      <c r="B72" s="10">
        <v>346.0</v>
      </c>
      <c r="C72" s="10">
        <v>14.0</v>
      </c>
      <c r="D72" s="10">
        <v>152.0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0">
        <v>72.0</v>
      </c>
      <c r="B73" s="10">
        <v>736.0</v>
      </c>
      <c r="C73" s="10">
        <v>32.0</v>
      </c>
      <c r="D73" s="10">
        <v>536.0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0">
        <v>73.0</v>
      </c>
      <c r="B74" s="10">
        <v>828.0</v>
      </c>
      <c r="C74" s="10">
        <v>31.0</v>
      </c>
      <c r="D74" s="10">
        <v>631.0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0">
        <v>74.0</v>
      </c>
      <c r="B75" s="10">
        <v>282.0</v>
      </c>
      <c r="C75" s="10">
        <v>10.0</v>
      </c>
      <c r="D75" s="10">
        <v>90.0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0">
        <v>75.0</v>
      </c>
      <c r="B76" s="10">
        <v>228.0</v>
      </c>
      <c r="C76" s="10">
        <v>7.0</v>
      </c>
      <c r="D76" s="10">
        <v>63.0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0">
        <v>76.0</v>
      </c>
      <c r="B77" s="10">
        <v>286.0</v>
      </c>
      <c r="C77" s="10">
        <v>12.0</v>
      </c>
      <c r="D77" s="10">
        <v>94.0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0">
        <v>77.0</v>
      </c>
      <c r="B78" s="10">
        <v>260.0</v>
      </c>
      <c r="C78" s="10">
        <v>9.0</v>
      </c>
      <c r="D78" s="10">
        <v>79.0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0">
        <v>78.0</v>
      </c>
      <c r="B79" s="10">
        <v>1216.0</v>
      </c>
      <c r="C79" s="10">
        <v>58.0</v>
      </c>
      <c r="D79" s="10">
        <v>1018.0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0">
        <v>79.0</v>
      </c>
      <c r="B80" s="10">
        <v>412.0</v>
      </c>
      <c r="C80" s="10">
        <v>23.0</v>
      </c>
      <c r="D80" s="10">
        <v>218.0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0">
        <v>80.0</v>
      </c>
      <c r="B81" s="10">
        <v>864.0</v>
      </c>
      <c r="C81" s="10">
        <v>37.0</v>
      </c>
      <c r="D81" s="10">
        <v>666.0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0">
        <v>81.0</v>
      </c>
      <c r="B82" s="10">
        <v>284.0</v>
      </c>
      <c r="C82" s="10">
        <v>12.0</v>
      </c>
      <c r="D82" s="10">
        <v>99.0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0">
        <v>82.0</v>
      </c>
      <c r="B83" s="10">
        <v>906.0</v>
      </c>
      <c r="C83" s="10">
        <v>39.0</v>
      </c>
      <c r="D83" s="10">
        <v>728.0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0">
        <v>83.0</v>
      </c>
      <c r="B84" s="10">
        <v>342.0</v>
      </c>
      <c r="C84" s="10">
        <v>14.0</v>
      </c>
      <c r="D84" s="10">
        <v>155.0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0">
        <v>84.0</v>
      </c>
      <c r="B85" s="10">
        <v>872.0</v>
      </c>
      <c r="C85" s="10">
        <v>34.0</v>
      </c>
      <c r="D85" s="10">
        <v>674.0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0">
        <v>85.0</v>
      </c>
      <c r="B86" s="10">
        <v>272.0</v>
      </c>
      <c r="C86" s="10">
        <v>9.0</v>
      </c>
      <c r="D86" s="10">
        <v>85.0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0">
        <v>86.0</v>
      </c>
      <c r="B87" s="10">
        <v>300.0</v>
      </c>
      <c r="C87" s="10">
        <v>13.0</v>
      </c>
      <c r="D87" s="10">
        <v>121.0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0">
        <v>87.0</v>
      </c>
      <c r="B88" s="10">
        <v>806.0</v>
      </c>
      <c r="C88" s="10">
        <v>35.0</v>
      </c>
      <c r="D88" s="10">
        <v>613.0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0">
        <v>88.0</v>
      </c>
      <c r="B89" s="10">
        <v>416.0</v>
      </c>
      <c r="C89" s="10">
        <v>21.0</v>
      </c>
      <c r="D89" s="10">
        <v>227.0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0">
        <v>89.0</v>
      </c>
      <c r="B90" s="10">
        <v>680.0</v>
      </c>
      <c r="C90" s="10">
        <v>33.0</v>
      </c>
      <c r="D90" s="10">
        <v>482.0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0">
        <v>90.0</v>
      </c>
      <c r="B91" s="10">
        <v>450.0</v>
      </c>
      <c r="C91" s="10">
        <v>19.0</v>
      </c>
      <c r="D91" s="10">
        <v>258.0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0">
        <v>91.0</v>
      </c>
      <c r="B92" s="10">
        <v>842.0</v>
      </c>
      <c r="C92" s="10">
        <v>38.0</v>
      </c>
      <c r="D92" s="10">
        <v>650.0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0">
        <v>92.0</v>
      </c>
      <c r="B93" s="10">
        <v>282.0</v>
      </c>
      <c r="C93" s="10">
        <v>10.0</v>
      </c>
      <c r="D93" s="10">
        <v>90.0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0">
        <v>93.0</v>
      </c>
      <c r="B94" s="10">
        <v>282.0</v>
      </c>
      <c r="C94" s="10">
        <v>10.0</v>
      </c>
      <c r="D94" s="10">
        <v>90.0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0">
        <v>94.0</v>
      </c>
      <c r="B95" s="10">
        <v>332.0</v>
      </c>
      <c r="C95" s="10">
        <v>15.0</v>
      </c>
      <c r="D95" s="10">
        <v>140.0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0">
        <v>95.0</v>
      </c>
      <c r="B96" s="10">
        <v>520.0</v>
      </c>
      <c r="C96" s="10">
        <v>19.0</v>
      </c>
      <c r="D96" s="10">
        <v>334.0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0">
        <v>96.0</v>
      </c>
      <c r="B97" s="10">
        <v>502.0</v>
      </c>
      <c r="C97" s="10">
        <v>31.0</v>
      </c>
      <c r="D97" s="10">
        <v>311.0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0">
        <v>97.0</v>
      </c>
      <c r="B98" s="10">
        <v>544.0</v>
      </c>
      <c r="C98" s="10">
        <v>20.0</v>
      </c>
      <c r="D98" s="10">
        <v>371.0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0">
        <v>98.0</v>
      </c>
      <c r="B99" s="10">
        <v>1498.0</v>
      </c>
      <c r="C99" s="10">
        <v>73.0</v>
      </c>
      <c r="D99" s="10">
        <v>1298.0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0">
        <v>99.0</v>
      </c>
      <c r="B100" s="10">
        <v>524.0</v>
      </c>
      <c r="C100" s="10">
        <v>29.0</v>
      </c>
      <c r="D100" s="10">
        <v>330.0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0">
        <v>100.0</v>
      </c>
      <c r="B101" s="10">
        <v>442.0</v>
      </c>
      <c r="C101" s="10">
        <v>21.0</v>
      </c>
      <c r="D101" s="10">
        <v>248.0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7" t="s">
        <v>23</v>
      </c>
      <c r="B103" s="16">
        <f t="shared" ref="B103:D103" si="1">AVERAGE(B2:B101)</f>
        <v>518.66</v>
      </c>
      <c r="C103" s="16">
        <f t="shared" si="1"/>
        <v>22.59</v>
      </c>
      <c r="D103" s="16">
        <f t="shared" si="1"/>
        <v>328.41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3" t="s">
        <v>30</v>
      </c>
      <c r="B104" s="17">
        <f t="shared" ref="B104:D104" si="2">(STDEV(B2:B101))</f>
        <v>412.0785504</v>
      </c>
      <c r="C104" s="17">
        <f t="shared" si="2"/>
        <v>19.53866666</v>
      </c>
      <c r="D104" s="17">
        <f t="shared" si="2"/>
        <v>409.6272534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